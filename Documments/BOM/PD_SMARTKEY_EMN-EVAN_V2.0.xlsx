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GitHub\Altium-cp1\PD_SMARTKEY_ALL_V2\Documments\BOM\"/>
    </mc:Choice>
  </mc:AlternateContent>
  <xr:revisionPtr revIDLastSave="0" documentId="13_ncr:1_{05D5523C-CEDD-4F91-9BB3-4B2B2EFC3078}" xr6:coauthVersionLast="47" xr6:coauthVersionMax="47" xr10:uidLastSave="{00000000-0000-0000-0000-000000000000}"/>
  <bookViews>
    <workbookView xWindow="-108" yWindow="-108" windowWidth="23256" windowHeight="12576" xr2:uid="{7D0018B6-6557-450B-8DAB-532D8B2A5BC7}"/>
  </bookViews>
  <sheets>
    <sheet name="PD_SMARTKEY_EMN-EVAN_V2.0" sheetId="1" r:id="rId1"/>
  </sheets>
  <definedNames>
    <definedName name="_xlnm.Print_Titles" localSheetId="0">'PD_SMARTKEY_EMN-EVAN_V2.0'!#REF!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53" i="1" l="1"/>
  <c r="U53" i="1"/>
  <c r="P44" i="1"/>
  <c r="O44" i="1"/>
  <c r="U48" i="1"/>
  <c r="U52" i="1"/>
  <c r="U44" i="1"/>
  <c r="U45" i="1"/>
  <c r="U46" i="1"/>
  <c r="U47" i="1"/>
  <c r="U49" i="1"/>
  <c r="U50" i="1"/>
  <c r="U51" i="1"/>
  <c r="U34" i="1"/>
  <c r="U35" i="1"/>
  <c r="U36" i="1"/>
  <c r="U37" i="1"/>
  <c r="U38" i="1"/>
  <c r="U39" i="1"/>
  <c r="U40" i="1"/>
  <c r="U41" i="1"/>
  <c r="U42" i="1"/>
  <c r="U43" i="1"/>
  <c r="U33" i="1"/>
  <c r="U32" i="1"/>
  <c r="U28" i="1"/>
  <c r="U29" i="1"/>
  <c r="U30" i="1"/>
  <c r="U27" i="1"/>
  <c r="U26" i="1"/>
  <c r="U16" i="1"/>
  <c r="U17" i="1"/>
  <c r="U18" i="1"/>
  <c r="U19" i="1"/>
  <c r="U20" i="1"/>
  <c r="U21" i="1"/>
  <c r="U22" i="1"/>
  <c r="U23" i="1"/>
  <c r="U24" i="1"/>
  <c r="U25" i="1"/>
  <c r="U5" i="1"/>
  <c r="U6" i="1"/>
  <c r="U7" i="1"/>
  <c r="U8" i="1"/>
  <c r="U9" i="1"/>
  <c r="U10" i="1"/>
  <c r="U11" i="1"/>
  <c r="U12" i="1"/>
  <c r="U13" i="1"/>
  <c r="U14" i="1"/>
  <c r="U15" i="1"/>
  <c r="U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4" i="1"/>
  <c r="I33" i="1"/>
  <c r="I40" i="1"/>
  <c r="I41" i="1" s="1"/>
  <c r="I43" i="1"/>
</calcChain>
</file>

<file path=xl/sharedStrings.xml><?xml version="1.0" encoding="utf-8"?>
<sst xmlns="http://schemas.openxmlformats.org/spreadsheetml/2006/main" count="358" uniqueCount="234">
  <si>
    <t>Description</t>
  </si>
  <si>
    <t>Designator</t>
  </si>
  <si>
    <t>100nF</t>
  </si>
  <si>
    <t>100nF, 50V 10pF NP0 ±1% 0402 Multilayer Ceramic Capacitors MLCC - SMD/SMT ROHS</t>
  </si>
  <si>
    <t>C1, C4, C6, C8, C14, C15, C22, C29, C30</t>
  </si>
  <si>
    <t>10uF</t>
  </si>
  <si>
    <t>50V 10pF NP0 ±1% 0402 Multilayer Ceramic Capacitors MLCC - SMD/SMT ROHS, 10uF</t>
  </si>
  <si>
    <t>C2, C3, C7, C9, C12, C13, C26, C28</t>
  </si>
  <si>
    <t>100pF</t>
  </si>
  <si>
    <t>C5</t>
  </si>
  <si>
    <t>VT1C101M0605</t>
  </si>
  <si>
    <t>100uF 16V ±20% 63mA@120Hz SMD,D6.3xL5.4mm Aluminum Electrolytic Capacitors RoHS</t>
  </si>
  <si>
    <t>C10</t>
  </si>
  <si>
    <t>1uF</t>
  </si>
  <si>
    <t>50V 10pF NP0 ±1% 0402 Multilayer Ceramic Capacitors MLCC - SMD/SMT ROHS</t>
  </si>
  <si>
    <t>C11, C17</t>
  </si>
  <si>
    <t>XL2EL89CPI-111YLC-40M</t>
  </si>
  <si>
    <t>Crystal Oscillator 15pF SMD3225-4P Crystals RoHS</t>
  </si>
  <si>
    <t>C16</t>
  </si>
  <si>
    <t>NC</t>
  </si>
  <si>
    <t/>
  </si>
  <si>
    <t>C18, C19</t>
  </si>
  <si>
    <t>12pF</t>
  </si>
  <si>
    <t>C20, C21, C31, C32</t>
  </si>
  <si>
    <t>6.7458M 12PF 20PPM</t>
  </si>
  <si>
    <t>CRYSTAL 6.7458MHz 12pF SMD</t>
  </si>
  <si>
    <t>C23</t>
  </si>
  <si>
    <t>3.3uF</t>
  </si>
  <si>
    <t>C24</t>
  </si>
  <si>
    <t>C25, C33</t>
  </si>
  <si>
    <t>8.2pF</t>
  </si>
  <si>
    <t>C27</t>
  </si>
  <si>
    <t>SS34</t>
  </si>
  <si>
    <t>40V Independent 3A 550mV@3A SMA(DO-214AC) Schottky Diodes ROHS</t>
  </si>
  <si>
    <t>D1</t>
  </si>
  <si>
    <t>1N5819</t>
  </si>
  <si>
    <t>D2, D3</t>
  </si>
  <si>
    <t>RED</t>
  </si>
  <si>
    <t>25mcd~40mcd Water Clear -40℃~+85℃ 624nm Red 120° 60mW 0402 LED Indication - Discrete ROHS</t>
  </si>
  <si>
    <t>D4</t>
  </si>
  <si>
    <t>BAT54S</t>
  </si>
  <si>
    <t>D5, D10</t>
  </si>
  <si>
    <t>1N4007WS</t>
  </si>
  <si>
    <t>DIODE STANDARD 1kV 1A SOD-323</t>
  </si>
  <si>
    <t>D6, D8, D9</t>
  </si>
  <si>
    <t>1N5819WS</t>
  </si>
  <si>
    <t>DIODE SCHOTTKY 40V SOD-323</t>
  </si>
  <si>
    <t>D7</t>
  </si>
  <si>
    <t>PZ2.54-S04P-A60</t>
  </si>
  <si>
    <t>1kV 1 2.54mm Pin Header 3A 2.5mm Through Hole 6mm -40℃~+105℃ 3mm Gold 4P Black 1x4P Through Hole,P=2.54mm Headers, Male Pins RoHS</t>
  </si>
  <si>
    <t>H1</t>
  </si>
  <si>
    <t>HC-PM200-4.3H-1x5PZ</t>
  </si>
  <si>
    <t>CONN SOCKET 5POS 2mm SINGLE ROW TH</t>
  </si>
  <si>
    <t>H2</t>
  </si>
  <si>
    <t>PZ2.0-1*2</t>
  </si>
  <si>
    <t>CONN HEADER 2POS 2mm SINGLE ROW TH</t>
  </si>
  <si>
    <t>H3</t>
  </si>
  <si>
    <t>PZ254V-11-03P</t>
  </si>
  <si>
    <t>CONN HEADER 3POS 2.54mm SINGLE ROW TH</t>
  </si>
  <si>
    <t>H4</t>
  </si>
  <si>
    <t>BSS138</t>
  </si>
  <si>
    <t>MOSFET N-CH 50V 0.22A SOT-23</t>
  </si>
  <si>
    <t>J1</t>
  </si>
  <si>
    <t>AO3401A</t>
  </si>
  <si>
    <t>30V 4A 900mV@250uA 1 P-Channel SOT-23 MOSFETs ROHS</t>
  </si>
  <si>
    <t>J2, J3, J4</t>
  </si>
  <si>
    <t>10uH</t>
  </si>
  <si>
    <t>FIXED IND 22uH 1.2A 363mΩ SMD,0420</t>
  </si>
  <si>
    <t>L1</t>
  </si>
  <si>
    <t>LQG15HS1N0B02D</t>
  </si>
  <si>
    <t>FIXED IND 1nH 1A 70mΩ 0402</t>
  </si>
  <si>
    <t>L2</t>
  </si>
  <si>
    <t>LQW15AN24NG00D</t>
  </si>
  <si>
    <t>FIXED IND 24nH 280mA 520mΩ 0402</t>
  </si>
  <si>
    <t>L3, L4</t>
  </si>
  <si>
    <t>JP9x2</t>
  </si>
  <si>
    <t>WR-PHD 2.54 mm Dual Socket Header</t>
  </si>
  <si>
    <t>OUTPUT1</t>
  </si>
  <si>
    <t>AO3402</t>
  </si>
  <si>
    <t>N-Channel 20V 2.5A _Tc_ 830mW _Tc_ Surface Mount TO-236AB _SOT23_</t>
  </si>
  <si>
    <t>Q1, Q2</t>
  </si>
  <si>
    <t>MOSFET N-CH 30V SOT-23</t>
  </si>
  <si>
    <t>Q3, Q4, Q5</t>
  </si>
  <si>
    <t>51kΩ</t>
  </si>
  <si>
    <t>100mW Thick Film Resistor 75V ±100ppm/℃ ±1% 51kΩ 0603 Chip Resistor - Surface Mount ROHS</t>
  </si>
  <si>
    <t>R1</t>
  </si>
  <si>
    <t>5k1Ω</t>
  </si>
  <si>
    <t>100mW Thick Film Resistor 75V ±100ppm/℃ ±1% 5.1kΩ 0603 Chip Resistor - Surface Mount ROHS</t>
  </si>
  <si>
    <t>R2, R23, R30, R36</t>
  </si>
  <si>
    <t>6.8kΩ</t>
  </si>
  <si>
    <t>6.8k</t>
  </si>
  <si>
    <t>R3</t>
  </si>
  <si>
    <t>10kΩ</t>
  </si>
  <si>
    <t>62.5mW Thick Film Resistor 50V ±1% ±200ppm/℃ 10Ω 0402 Chip Resistor - Surface Mount ROHS</t>
  </si>
  <si>
    <t>R4, R9, R10, R11, R12, R14, R16, R17, R20, R25, R27, R28, R29, R31, R33, R37</t>
  </si>
  <si>
    <t>22</t>
  </si>
  <si>
    <t>100mW Thick Film Resistor 75V ±5% 0Ω 0603 Chip Resistor - Surface Mount ROHS</t>
  </si>
  <si>
    <t>R5, R6</t>
  </si>
  <si>
    <t>33Ω</t>
  </si>
  <si>
    <t>100mW Thick Film Resistor 75V ±1% ±200ppm/℃ 2Ω 0603 Chip Resistor - Surface Mount ROHS</t>
  </si>
  <si>
    <t>R7, R8, R39, R40, R43</t>
  </si>
  <si>
    <t>1K</t>
  </si>
  <si>
    <t>Resistor</t>
  </si>
  <si>
    <t>R13, R18</t>
  </si>
  <si>
    <t>10K</t>
  </si>
  <si>
    <t>R15, R19, R24, R34, R35, R42</t>
  </si>
  <si>
    <t>1kΩ</t>
  </si>
  <si>
    <t>R21, R26, R32, R38</t>
  </si>
  <si>
    <t>33K</t>
  </si>
  <si>
    <t>R22, R41</t>
  </si>
  <si>
    <t>SRA-12VDC-CL</t>
  </si>
  <si>
    <t>RL1, RL2</t>
  </si>
  <si>
    <t>SW-SMD</t>
  </si>
  <si>
    <t>Switch</t>
  </si>
  <si>
    <t>S1</t>
  </si>
  <si>
    <t>AP2112K-3.3TRG1</t>
  </si>
  <si>
    <t>U1</t>
  </si>
  <si>
    <t>SM8103ADC</t>
  </si>
  <si>
    <t>High Efficiency, 3.0A, 18V Input Synchronous Step Down Regulator</t>
  </si>
  <si>
    <t>U2</t>
  </si>
  <si>
    <t>ESP32-C3</t>
  </si>
  <si>
    <t>Others 160MHz QFN-32-EP(5x5) RF Transceiver Modules and Modems RoHS</t>
  </si>
  <si>
    <t>U3</t>
  </si>
  <si>
    <t>SYN480R</t>
  </si>
  <si>
    <t>433/315 MHz wireless receiver chips</t>
  </si>
  <si>
    <t>U4</t>
  </si>
  <si>
    <t>RZ7889</t>
  </si>
  <si>
    <t>U5</t>
  </si>
  <si>
    <t>74HC595PW,118</t>
  </si>
  <si>
    <t>8-bit serial-in, serial or parallel-out shift register with output latches; 3-state</t>
  </si>
  <si>
    <t>U6</t>
  </si>
  <si>
    <t>SIT1040T</t>
  </si>
  <si>
    <t>U7</t>
  </si>
  <si>
    <t>Item</t>
  </si>
  <si>
    <t>Internal_PN</t>
  </si>
  <si>
    <t>Part Name</t>
  </si>
  <si>
    <t>Value</t>
  </si>
  <si>
    <t>Qty/Board</t>
  </si>
  <si>
    <t>Package</t>
  </si>
  <si>
    <t>Manufacturer</t>
  </si>
  <si>
    <t>MPN</t>
  </si>
  <si>
    <t>BOM_SMARTKEY_V2.0</t>
  </si>
  <si>
    <t>0603</t>
  </si>
  <si>
    <t>SMD,D6.3xL5.4mm</t>
  </si>
  <si>
    <t>SMD3225-4P</t>
  </si>
  <si>
    <t>0402</t>
  </si>
  <si>
    <t>HC-49S-SMD-2P-Mini</t>
  </si>
  <si>
    <t>SMA(DO-214AC)</t>
  </si>
  <si>
    <t>SOD-323</t>
  </si>
  <si>
    <t>SOT-23</t>
  </si>
  <si>
    <t>SMD,4.4x4.2mm</t>
  </si>
  <si>
    <t>QFN-32-EP(5x5)</t>
  </si>
  <si>
    <t>CC0402FRNPO9BN100</t>
  </si>
  <si>
    <t>GCJ188C70J335KE02D</t>
  </si>
  <si>
    <t>XL-1005UGC</t>
  </si>
  <si>
    <t>XR0420-220M</t>
  </si>
  <si>
    <t>FRC0603F5101TS</t>
  </si>
  <si>
    <t>RC0402FR-0710RL</t>
  </si>
  <si>
    <t>RC0603JR-070RL</t>
  </si>
  <si>
    <t>RC0603FR-072RL</t>
  </si>
  <si>
    <t>YAGEO</t>
  </si>
  <si>
    <t>YXC Crystal Oscillators</t>
  </si>
  <si>
    <t>SOSET</t>
  </si>
  <si>
    <t>muRata</t>
  </si>
  <si>
    <t>MDD(Microdiode Semiconductor)</t>
  </si>
  <si>
    <t>XINGLIGHT</t>
  </si>
  <si>
    <t>Guangdong Hottech</t>
  </si>
  <si>
    <t>JXTCONN</t>
  </si>
  <si>
    <t>Hong Cheng</t>
  </si>
  <si>
    <t>ZHOURI</t>
  </si>
  <si>
    <t>XFCN</t>
  </si>
  <si>
    <t>onsemi</t>
  </si>
  <si>
    <t>AOS</t>
  </si>
  <si>
    <t>XR</t>
  </si>
  <si>
    <t>W¨¹rth Elektronik eiSos GmbH</t>
  </si>
  <si>
    <t>Silergy</t>
  </si>
  <si>
    <t>ESPRESSIF</t>
  </si>
  <si>
    <t>JSMSEMI</t>
  </si>
  <si>
    <t>Nexperia</t>
  </si>
  <si>
    <t>100uF/16V</t>
  </si>
  <si>
    <t>40Mhz</t>
  </si>
  <si>
    <t>6.7458Mhz</t>
  </si>
  <si>
    <t>2P XH2.0</t>
  </si>
  <si>
    <t>5P XH2.0</t>
  </si>
  <si>
    <t>4p XH2.0</t>
  </si>
  <si>
    <t>24nH</t>
  </si>
  <si>
    <t>22Ω</t>
  </si>
  <si>
    <t>Relay 12V</t>
  </si>
  <si>
    <t>74HC595PW</t>
  </si>
  <si>
    <t>SOT23-3</t>
  </si>
  <si>
    <t>1P XH2.0</t>
  </si>
  <si>
    <t>Through Hole,P=2.54mm</t>
  </si>
  <si>
    <t>Single group transfer type relay</t>
  </si>
  <si>
    <t>Through Hole,16x12.4mm</t>
  </si>
  <si>
    <t>Songle Relay</t>
  </si>
  <si>
    <t>12V Without Bracket 3.7mm Rectangular Button 6.1mm SPST 50mA SMD,6.2x3.7mm Tactile Switches RoHS</t>
  </si>
  <si>
    <t>SMD,6.2x3.7mm</t>
  </si>
  <si>
    <t>TS50810-411-02528</t>
  </si>
  <si>
    <t>600mA CMOS LDO REGULATOR WITH ENABLE</t>
  </si>
  <si>
    <t>SOT-25-5</t>
  </si>
  <si>
    <t>DIODES</t>
  </si>
  <si>
    <t>TSOT-23-6</t>
  </si>
  <si>
    <t>SOP-8</t>
  </si>
  <si>
    <t>RZ7889-MS DC Bidirectional Motor Driver Circuit</t>
  </si>
  <si>
    <t>MSKSEMI</t>
  </si>
  <si>
    <t>RZ7889-MS</t>
  </si>
  <si>
    <t>5V Supply, ±40V Interface Voltage Tolerance, 1Mbps High-Speed CAN Bus Transceiver</t>
  </si>
  <si>
    <t>SO-8</t>
  </si>
  <si>
    <t>SIT</t>
  </si>
  <si>
    <t>KTP</t>
  </si>
  <si>
    <t>DIODE ARR SCHOTTKY 30V SOT-23</t>
  </si>
  <si>
    <t>CAP CER 100nF 50V X7R 0603</t>
  </si>
  <si>
    <t>Samsung Electro-Mechanics</t>
  </si>
  <si>
    <t>CL10B104KB8NNNC</t>
  </si>
  <si>
    <t>RES 1kΩ ±5% 100mW 0603</t>
  </si>
  <si>
    <t>RMC 0603 1K J N</t>
  </si>
  <si>
    <t>RC0603FR-0710KL</t>
  </si>
  <si>
    <t>RES 10kΩ ±1% 100mW 0603</t>
  </si>
  <si>
    <t>HMTCONN</t>
  </si>
  <si>
    <t>DVT TQ</t>
  </si>
  <si>
    <t>SL mua TQ</t>
  </si>
  <si>
    <t>Tệ</t>
  </si>
  <si>
    <t>Thành tiền</t>
  </si>
  <si>
    <t>Cộng</t>
  </si>
  <si>
    <t>Shop</t>
  </si>
  <si>
    <t>Link VN</t>
  </si>
  <si>
    <t>Link TQ</t>
  </si>
  <si>
    <t>SIT1040</t>
  </si>
  <si>
    <t>Số lượng 1000 pcs</t>
  </si>
  <si>
    <t>Giá LCSC</t>
  </si>
  <si>
    <t>Thành tiền LCSC</t>
  </si>
  <si>
    <t>DMBJ</t>
  </si>
  <si>
    <t>TDK</t>
  </si>
  <si>
    <t>https://e.tb.cn/h.8i9cz95HFbkUPyw?tk=DY1kTb6jT38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</si>
</sst>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3" formatCode="_([$VND]\ * #,##0.00_);_([$VND]\ * \(#,##0.00\);_([$VND]\ * &quot;-&quot;??_);_(@_)"/>
    <numFmt numFmtId="175" formatCode="_([$$-409]* #,##0.000000_);_([$$-409]* \(#,##0.000000\);_([$$-409]* &quot;-&quot;??_);_(@_)"/>
    <numFmt numFmtId="176" formatCode="_([$$-409]* #.##0.00_);_([$$-409]* \(#.##0.00\);_([$$-409]* &quot;-&quot;??_);_(@_)"/>
    <numFmt numFmtId="196" formatCode="&quot;$&quot;#.0000.;[Red]\(&quot;$&quot;#.0000.\_x0001_;"/>
    <numFmt numFmtId="197" formatCode="_([$VND]\ * #.##0.00_);_([$VND]\ * \(#.##0.00\);_([$VND]\ * &quot;-&quot;??_);_(@_)"/>
  </numFmts>
  <fonts count="15">
    <font>
      <sz val="11"/>
      <color theme="1"/>
      <name val="Calibri"/>
      <family val="2"/>
      <scheme val="minor"/>
    </font>
    <font>
      <b/>
      <sz val="20"/>
      <color rgb="FFFFFFFF"/>
      <name val="Carlito"/>
      <charset val="134"/>
    </font>
    <font>
      <b/>
      <sz val="11"/>
      <color rgb="FFFFFFFF"/>
      <name val="Carlito"/>
      <charset val="134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0"/>
      <name val="Times New Roman"/>
      <family val="1"/>
    </font>
    <font>
      <sz val="12"/>
      <color rgb="FF1C1F23"/>
      <name val="Calibri"/>
      <family val="2"/>
      <scheme val="minor"/>
    </font>
    <font>
      <sz val="12"/>
      <color rgb="FF1C1F23"/>
      <name val="Arial"/>
      <family val="2"/>
    </font>
    <font>
      <b/>
      <sz val="12"/>
      <name val="Arial"/>
      <family val="2"/>
    </font>
    <font>
      <b/>
      <sz val="12"/>
      <name val="Calibri"/>
      <family val="2"/>
      <scheme val="minor"/>
    </font>
    <font>
      <b/>
      <sz val="12"/>
      <name val="Poppins"/>
    </font>
    <font>
      <b/>
      <sz val="12"/>
      <color rgb="FF1C1F23"/>
      <name val="Poppins"/>
      <charset val="1"/>
    </font>
    <font>
      <b/>
      <sz val="12"/>
      <color rgb="FF000000"/>
      <name val="Poppins"/>
      <charset val="1"/>
    </font>
    <font>
      <sz val="11"/>
      <color rgb="FF000000"/>
      <name val="Calibri"/>
      <family val="2"/>
      <scheme val="minor"/>
    </font>
    <font>
      <sz val="12"/>
      <color rgb="FF00000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theme="8" tint="-0.499984740745262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9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1" xfId="0" quotePrefix="1" applyBorder="1" applyAlignment="1">
      <alignment wrapText="1"/>
    </xf>
    <xf numFmtId="0" fontId="0" fillId="0" borderId="0" xfId="0" applyAlignment="1">
      <alignment wrapText="1"/>
    </xf>
    <xf numFmtId="0" fontId="1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3" xfId="0" applyFont="1" applyFill="1" applyBorder="1" applyAlignment="1">
      <alignment horizontal="right" vertical="center"/>
    </xf>
    <xf numFmtId="0" fontId="0" fillId="0" borderId="1" xfId="0" applyBorder="1" applyAlignment="1">
      <alignment horizontal="right"/>
    </xf>
    <xf numFmtId="0" fontId="2" fillId="3" borderId="1" xfId="0" applyFont="1" applyFill="1" applyBorder="1" applyAlignment="1">
      <alignment horizontal="right" vertical="center" wrapText="1"/>
    </xf>
    <xf numFmtId="0" fontId="0" fillId="0" borderId="1" xfId="0" quotePrefix="1" applyBorder="1" applyAlignment="1">
      <alignment horizontal="right"/>
    </xf>
    <xf numFmtId="0" fontId="0" fillId="0" borderId="0" xfId="0" applyAlignment="1">
      <alignment horizontal="right"/>
    </xf>
    <xf numFmtId="0" fontId="5" fillId="4" borderId="4" xfId="0" applyFont="1" applyFill="1" applyBorder="1" applyAlignment="1">
      <alignment horizontal="center" vertical="center" wrapText="1"/>
    </xf>
    <xf numFmtId="0" fontId="3" fillId="0" borderId="5" xfId="1" applyBorder="1"/>
    <xf numFmtId="0" fontId="0" fillId="5" borderId="1" xfId="0" quotePrefix="1" applyFill="1" applyBorder="1" applyAlignment="1">
      <alignment wrapText="1"/>
    </xf>
    <xf numFmtId="173" fontId="0" fillId="0" borderId="1" xfId="0" applyNumberFormat="1" applyBorder="1"/>
    <xf numFmtId="0" fontId="0" fillId="6" borderId="1" xfId="0" quotePrefix="1" applyFill="1" applyBorder="1" applyAlignment="1">
      <alignment wrapText="1"/>
    </xf>
    <xf numFmtId="0" fontId="0" fillId="7" borderId="1" xfId="0" quotePrefix="1" applyFill="1" applyBorder="1" applyAlignment="1">
      <alignment wrapText="1"/>
    </xf>
    <xf numFmtId="0" fontId="0" fillId="8" borderId="1" xfId="0" quotePrefix="1" applyFill="1" applyBorder="1" applyAlignment="1">
      <alignment wrapText="1"/>
    </xf>
    <xf numFmtId="0" fontId="0" fillId="9" borderId="1" xfId="0" quotePrefix="1" applyFill="1" applyBorder="1" applyAlignment="1">
      <alignment wrapText="1"/>
    </xf>
    <xf numFmtId="175" fontId="6" fillId="0" borderId="1" xfId="0" applyNumberFormat="1" applyFont="1" applyBorder="1"/>
    <xf numFmtId="175" fontId="7" fillId="0" borderId="1" xfId="0" applyNumberFormat="1" applyFont="1" applyBorder="1"/>
    <xf numFmtId="175" fontId="8" fillId="0" borderId="1" xfId="0" applyNumberFormat="1" applyFont="1" applyBorder="1"/>
    <xf numFmtId="175" fontId="9" fillId="0" borderId="1" xfId="0" applyNumberFormat="1" applyFont="1" applyBorder="1"/>
    <xf numFmtId="173" fontId="0" fillId="0" borderId="0" xfId="0" applyNumberFormat="1"/>
    <xf numFmtId="176" fontId="8" fillId="0" borderId="0" xfId="0" applyNumberFormat="1" applyFont="1"/>
    <xf numFmtId="176" fontId="10" fillId="0" borderId="0" xfId="0" applyNumberFormat="1" applyFont="1"/>
    <xf numFmtId="0" fontId="13" fillId="0" borderId="6" xfId="0" applyFont="1" applyBorder="1"/>
    <xf numFmtId="0" fontId="14" fillId="0" borderId="5" xfId="0" applyFont="1" applyBorder="1" applyAlignment="1">
      <alignment horizontal="center" vertical="center"/>
    </xf>
    <xf numFmtId="196" fontId="11" fillId="0" borderId="0" xfId="0" applyNumberFormat="1" applyFont="1"/>
    <xf numFmtId="196" fontId="12" fillId="0" borderId="0" xfId="0" applyNumberFormat="1" applyFont="1"/>
    <xf numFmtId="0" fontId="0" fillId="0" borderId="0" xfId="0" applyAlignment="1">
      <alignment horizontal="center"/>
    </xf>
    <xf numFmtId="197" fontId="0" fillId="0" borderId="0" xfId="0" applyNumberForma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item.taobao.com/item.htm?abbucket=12&amp;id=690569887601&amp;mi_id=0000e71NKl49qtzdIIIlqyCDBreq7W4tBYXr6ZVC5YImJSc&amp;ns=1&amp;priceTId=2100c80517669722657178530e0905&amp;skuId=5643160545714&amp;spm=a21n57.1.hoverItem.2&amp;utparam=%7B%22aplus_abtest%22%3A%227eb55c0d3290eb40adb23e01d289719f%22%7D&amp;xxc=taobaoSear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41C01-7FB7-4A08-899C-9D03FF413E26}">
  <dimension ref="A1:Y53"/>
  <sheetViews>
    <sheetView tabSelected="1" topLeftCell="A31" zoomScale="70" zoomScaleNormal="70" workbookViewId="0">
      <selection activeCell="AA53" sqref="AA53"/>
    </sheetView>
  </sheetViews>
  <sheetFormatPr defaultRowHeight="14.4"/>
  <cols>
    <col min="1" max="1" width="19" customWidth="1"/>
    <col min="2" max="3" width="19" hidden="1" customWidth="1"/>
    <col min="4" max="4" width="19" customWidth="1"/>
    <col min="5" max="5" width="17.77734375" style="9" customWidth="1"/>
    <col min="6" max="6" width="11.33203125" style="9" customWidth="1"/>
    <col min="7" max="7" width="25.44140625" style="12" customWidth="1"/>
    <col min="8" max="8" width="10.33203125" style="17" hidden="1" customWidth="1"/>
    <col min="9" max="9" width="11.109375" hidden="1" customWidth="1"/>
    <col min="10" max="10" width="18.77734375" customWidth="1"/>
    <col min="11" max="11" width="14.88671875" hidden="1" customWidth="1"/>
    <col min="12" max="12" width="9.6640625" customWidth="1"/>
    <col min="13" max="13" width="8.21875" customWidth="1"/>
    <col min="15" max="15" width="9.6640625" customWidth="1"/>
    <col min="20" max="20" width="15.5546875" customWidth="1"/>
    <col min="21" max="21" width="17.6640625" customWidth="1"/>
  </cols>
  <sheetData>
    <row r="1" spans="1:21" ht="25.8">
      <c r="A1" s="3" t="s">
        <v>141</v>
      </c>
      <c r="B1" s="4"/>
      <c r="C1" s="4"/>
      <c r="D1" s="4"/>
      <c r="E1" s="6"/>
      <c r="F1" s="6"/>
      <c r="G1" s="10"/>
      <c r="H1" s="1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1:21">
      <c r="A2" s="1"/>
      <c r="B2" s="1"/>
      <c r="C2" s="1"/>
      <c r="D2" s="1"/>
      <c r="E2" s="7"/>
      <c r="F2" s="7"/>
      <c r="G2" s="11"/>
      <c r="H2" s="14"/>
      <c r="I2" s="1"/>
      <c r="J2" s="1"/>
      <c r="K2" s="1"/>
    </row>
    <row r="3" spans="1:21" ht="52.2">
      <c r="A3" s="5" t="s">
        <v>133</v>
      </c>
      <c r="B3" s="5" t="s">
        <v>134</v>
      </c>
      <c r="C3" s="5" t="s">
        <v>135</v>
      </c>
      <c r="D3" s="5" t="s">
        <v>136</v>
      </c>
      <c r="E3" s="5" t="s">
        <v>1</v>
      </c>
      <c r="F3" s="5" t="s">
        <v>137</v>
      </c>
      <c r="G3" s="5" t="s">
        <v>228</v>
      </c>
      <c r="H3" s="15" t="s">
        <v>0</v>
      </c>
      <c r="I3" s="5" t="s">
        <v>138</v>
      </c>
      <c r="J3" s="5" t="s">
        <v>139</v>
      </c>
      <c r="K3" s="5" t="s">
        <v>140</v>
      </c>
      <c r="L3" s="18" t="s">
        <v>219</v>
      </c>
      <c r="M3" s="18" t="s">
        <v>220</v>
      </c>
      <c r="N3" s="18" t="s">
        <v>221</v>
      </c>
      <c r="O3" s="18" t="s">
        <v>222</v>
      </c>
      <c r="P3" s="18" t="s">
        <v>223</v>
      </c>
      <c r="Q3" s="18" t="s">
        <v>224</v>
      </c>
      <c r="R3" s="18" t="s">
        <v>225</v>
      </c>
      <c r="S3" s="18" t="s">
        <v>226</v>
      </c>
      <c r="T3" s="18" t="s">
        <v>229</v>
      </c>
      <c r="U3" s="18" t="s">
        <v>230</v>
      </c>
    </row>
    <row r="4" spans="1:21" ht="28.8">
      <c r="A4" s="2" t="s">
        <v>2</v>
      </c>
      <c r="B4" s="1"/>
      <c r="C4" s="1"/>
      <c r="D4" s="2" t="s">
        <v>2</v>
      </c>
      <c r="E4" s="20" t="s">
        <v>4</v>
      </c>
      <c r="F4" s="11">
        <v>9</v>
      </c>
      <c r="G4" s="11">
        <f>F4*1000</f>
        <v>9000</v>
      </c>
      <c r="H4" s="16" t="s">
        <v>3</v>
      </c>
      <c r="I4" s="2" t="s">
        <v>142</v>
      </c>
      <c r="J4" s="2" t="s">
        <v>160</v>
      </c>
      <c r="K4" s="2" t="s">
        <v>152</v>
      </c>
      <c r="L4" s="1"/>
      <c r="M4" s="1"/>
      <c r="N4" s="1"/>
      <c r="O4" s="1"/>
      <c r="P4" s="1"/>
      <c r="Q4" s="1"/>
      <c r="R4" s="1"/>
      <c r="S4" s="1"/>
      <c r="T4" s="26">
        <v>1.12E-2</v>
      </c>
      <c r="U4" s="21">
        <f>T4*26150*F4</f>
        <v>2635.92</v>
      </c>
    </row>
    <row r="5" spans="1:21" ht="28.8">
      <c r="A5" s="2" t="s">
        <v>5</v>
      </c>
      <c r="B5" s="1"/>
      <c r="C5" s="1"/>
      <c r="D5" s="2" t="s">
        <v>5</v>
      </c>
      <c r="E5" s="20" t="s">
        <v>7</v>
      </c>
      <c r="F5" s="11">
        <v>8</v>
      </c>
      <c r="G5" s="11">
        <f t="shared" ref="G5:G52" si="0">F5*1000</f>
        <v>8000</v>
      </c>
      <c r="H5" s="16" t="s">
        <v>6</v>
      </c>
      <c r="I5" s="2" t="s">
        <v>142</v>
      </c>
      <c r="J5" s="2" t="s">
        <v>212</v>
      </c>
      <c r="K5" s="2" t="s">
        <v>152</v>
      </c>
      <c r="L5" s="1"/>
      <c r="M5" s="1"/>
      <c r="N5" s="1"/>
      <c r="O5" s="1"/>
      <c r="P5" s="1"/>
      <c r="Q5" s="1"/>
      <c r="R5" s="1"/>
      <c r="S5" s="1"/>
      <c r="T5" s="26">
        <v>5.1900000000000002E-2</v>
      </c>
      <c r="U5" s="21">
        <f t="shared" ref="U5:U42" si="1">T5*26150*F5</f>
        <v>10857.48</v>
      </c>
    </row>
    <row r="6" spans="1:21" ht="15.6">
      <c r="A6" s="2" t="s">
        <v>8</v>
      </c>
      <c r="B6" s="1"/>
      <c r="C6" s="1"/>
      <c r="D6" s="2" t="s">
        <v>8</v>
      </c>
      <c r="E6" s="20" t="s">
        <v>9</v>
      </c>
      <c r="F6" s="11">
        <v>1</v>
      </c>
      <c r="G6" s="11">
        <f t="shared" si="0"/>
        <v>1000</v>
      </c>
      <c r="H6" s="16" t="s">
        <v>8</v>
      </c>
      <c r="I6" s="2" t="s">
        <v>142</v>
      </c>
      <c r="J6" s="2" t="s">
        <v>160</v>
      </c>
      <c r="K6" s="2" t="s">
        <v>152</v>
      </c>
      <c r="L6" s="1"/>
      <c r="M6" s="1"/>
      <c r="N6" s="1"/>
      <c r="O6" s="1"/>
      <c r="P6" s="1"/>
      <c r="Q6" s="1"/>
      <c r="R6" s="1"/>
      <c r="S6" s="1"/>
      <c r="T6" s="26">
        <v>7.3000000000000001E-3</v>
      </c>
      <c r="U6" s="21">
        <f t="shared" si="1"/>
        <v>190.89500000000001</v>
      </c>
    </row>
    <row r="7" spans="1:21" ht="15.6">
      <c r="A7" s="2" t="s">
        <v>10</v>
      </c>
      <c r="B7" s="1"/>
      <c r="C7" s="1"/>
      <c r="D7" s="2" t="s">
        <v>179</v>
      </c>
      <c r="E7" s="20" t="s">
        <v>12</v>
      </c>
      <c r="F7" s="11">
        <v>1</v>
      </c>
      <c r="G7" s="11">
        <f t="shared" si="0"/>
        <v>1000</v>
      </c>
      <c r="H7" s="16" t="s">
        <v>11</v>
      </c>
      <c r="I7" s="2" t="s">
        <v>143</v>
      </c>
      <c r="J7" s="2" t="s">
        <v>231</v>
      </c>
      <c r="K7" s="2" t="s">
        <v>10</v>
      </c>
      <c r="L7" s="1"/>
      <c r="M7" s="1"/>
      <c r="N7" s="1"/>
      <c r="O7" s="1"/>
      <c r="P7" s="1"/>
      <c r="Q7" s="1"/>
      <c r="R7" s="1"/>
      <c r="S7" s="1"/>
      <c r="T7" s="26">
        <v>0.02</v>
      </c>
      <c r="U7" s="21">
        <f t="shared" si="1"/>
        <v>523</v>
      </c>
    </row>
    <row r="8" spans="1:21" ht="15.6">
      <c r="A8" s="2" t="s">
        <v>13</v>
      </c>
      <c r="B8" s="1"/>
      <c r="C8" s="1"/>
      <c r="D8" s="2" t="s">
        <v>13</v>
      </c>
      <c r="E8" s="20" t="s">
        <v>15</v>
      </c>
      <c r="F8" s="11">
        <v>2</v>
      </c>
      <c r="G8" s="11">
        <f t="shared" si="0"/>
        <v>2000</v>
      </c>
      <c r="H8" s="16" t="s">
        <v>14</v>
      </c>
      <c r="I8" s="2" t="s">
        <v>142</v>
      </c>
      <c r="J8" s="2" t="s">
        <v>160</v>
      </c>
      <c r="K8" s="2" t="s">
        <v>152</v>
      </c>
      <c r="L8" s="1"/>
      <c r="M8" s="1"/>
      <c r="N8" s="1"/>
      <c r="O8" s="1"/>
      <c r="P8" s="1"/>
      <c r="Q8" s="1"/>
      <c r="R8" s="1"/>
      <c r="S8" s="1"/>
      <c r="T8" s="27">
        <v>1.55E-2</v>
      </c>
      <c r="U8" s="21">
        <f t="shared" si="1"/>
        <v>810.65</v>
      </c>
    </row>
    <row r="9" spans="1:21" ht="15.6">
      <c r="A9" s="2" t="s">
        <v>16</v>
      </c>
      <c r="B9" s="1"/>
      <c r="C9" s="1"/>
      <c r="D9" s="2" t="s">
        <v>180</v>
      </c>
      <c r="E9" s="20" t="s">
        <v>18</v>
      </c>
      <c r="F9" s="11">
        <v>1</v>
      </c>
      <c r="G9" s="11">
        <f t="shared" si="0"/>
        <v>1000</v>
      </c>
      <c r="H9" s="16" t="s">
        <v>17</v>
      </c>
      <c r="I9" s="2" t="s">
        <v>144</v>
      </c>
      <c r="J9" s="2" t="s">
        <v>161</v>
      </c>
      <c r="K9" s="2" t="s">
        <v>16</v>
      </c>
      <c r="L9" s="1"/>
      <c r="M9" s="1"/>
      <c r="N9" s="1"/>
      <c r="O9" s="1"/>
      <c r="P9" s="1"/>
      <c r="Q9" s="1"/>
      <c r="R9" s="1"/>
      <c r="S9" s="1"/>
      <c r="T9" s="27">
        <v>0.53369999999999995</v>
      </c>
      <c r="U9" s="21">
        <f t="shared" si="1"/>
        <v>13956.254999999999</v>
      </c>
    </row>
    <row r="10" spans="1:21" ht="15.6">
      <c r="A10" s="2" t="s">
        <v>19</v>
      </c>
      <c r="B10" s="1"/>
      <c r="C10" s="1"/>
      <c r="D10" s="2" t="s">
        <v>19</v>
      </c>
      <c r="E10" s="20" t="s">
        <v>21</v>
      </c>
      <c r="F10" s="11">
        <v>2</v>
      </c>
      <c r="G10" s="11">
        <f t="shared" si="0"/>
        <v>2000</v>
      </c>
      <c r="H10" s="16" t="s">
        <v>20</v>
      </c>
      <c r="I10" s="2" t="s">
        <v>145</v>
      </c>
      <c r="J10" s="2" t="s">
        <v>160</v>
      </c>
      <c r="K10" s="2" t="s">
        <v>152</v>
      </c>
      <c r="L10" s="1"/>
      <c r="M10" s="1"/>
      <c r="N10" s="1"/>
      <c r="O10" s="1"/>
      <c r="P10" s="1"/>
      <c r="Q10" s="1"/>
      <c r="R10" s="1"/>
      <c r="S10" s="1"/>
      <c r="T10" s="26">
        <v>7.3000000000000001E-3</v>
      </c>
      <c r="U10" s="21">
        <f t="shared" si="1"/>
        <v>381.79</v>
      </c>
    </row>
    <row r="11" spans="1:21" ht="15.6">
      <c r="A11" s="2" t="s">
        <v>22</v>
      </c>
      <c r="B11" s="1"/>
      <c r="C11" s="1"/>
      <c r="D11" s="2" t="s">
        <v>22</v>
      </c>
      <c r="E11" s="20" t="s">
        <v>23</v>
      </c>
      <c r="F11" s="11">
        <v>4</v>
      </c>
      <c r="G11" s="11">
        <f t="shared" si="0"/>
        <v>4000</v>
      </c>
      <c r="H11" s="16" t="s">
        <v>14</v>
      </c>
      <c r="I11" s="2" t="s">
        <v>142</v>
      </c>
      <c r="J11" s="2" t="s">
        <v>160</v>
      </c>
      <c r="K11" s="2" t="s">
        <v>152</v>
      </c>
      <c r="L11" s="1"/>
      <c r="M11" s="1"/>
      <c r="N11" s="1"/>
      <c r="O11" s="1"/>
      <c r="P11" s="1"/>
      <c r="Q11" s="1"/>
      <c r="R11" s="1"/>
      <c r="S11" s="1"/>
      <c r="T11" s="27">
        <v>3.3E-3</v>
      </c>
      <c r="U11" s="21">
        <f t="shared" si="1"/>
        <v>345.18</v>
      </c>
    </row>
    <row r="12" spans="1:21" ht="15.6">
      <c r="A12" s="2" t="s">
        <v>24</v>
      </c>
      <c r="B12" s="1"/>
      <c r="C12" s="1"/>
      <c r="D12" s="2" t="s">
        <v>181</v>
      </c>
      <c r="E12" s="20" t="s">
        <v>26</v>
      </c>
      <c r="F12" s="11">
        <v>1</v>
      </c>
      <c r="G12" s="11">
        <f t="shared" si="0"/>
        <v>1000</v>
      </c>
      <c r="H12" s="16" t="s">
        <v>25</v>
      </c>
      <c r="I12" s="2" t="s">
        <v>146</v>
      </c>
      <c r="J12" s="2" t="s">
        <v>162</v>
      </c>
      <c r="K12" s="2" t="s">
        <v>24</v>
      </c>
      <c r="L12" s="1"/>
      <c r="M12" s="1"/>
      <c r="N12" s="1"/>
      <c r="O12" s="1"/>
      <c r="P12" s="1"/>
      <c r="Q12" s="1"/>
      <c r="R12" s="1"/>
      <c r="S12" s="1"/>
      <c r="T12" s="28">
        <v>5.5E-2</v>
      </c>
      <c r="U12" s="21">
        <f t="shared" si="1"/>
        <v>1438.25</v>
      </c>
    </row>
    <row r="13" spans="1:21" ht="15.6">
      <c r="A13" s="2" t="s">
        <v>27</v>
      </c>
      <c r="B13" s="1"/>
      <c r="C13" s="1"/>
      <c r="D13" s="2" t="s">
        <v>27</v>
      </c>
      <c r="E13" s="20" t="s">
        <v>28</v>
      </c>
      <c r="F13" s="11">
        <v>1</v>
      </c>
      <c r="G13" s="11">
        <f t="shared" si="0"/>
        <v>1000</v>
      </c>
      <c r="H13" s="16" t="s">
        <v>27</v>
      </c>
      <c r="I13" s="2" t="s">
        <v>142</v>
      </c>
      <c r="J13" s="2" t="s">
        <v>232</v>
      </c>
      <c r="K13" s="2" t="s">
        <v>153</v>
      </c>
      <c r="L13" s="1"/>
      <c r="M13" s="1"/>
      <c r="N13" s="1"/>
      <c r="O13" s="1"/>
      <c r="P13" s="1"/>
      <c r="Q13" s="1"/>
      <c r="R13" s="1"/>
      <c r="S13" s="1"/>
      <c r="T13" s="28">
        <v>3.5200000000000002E-2</v>
      </c>
      <c r="U13" s="21">
        <f t="shared" si="1"/>
        <v>920.48</v>
      </c>
    </row>
    <row r="14" spans="1:21" ht="15.6">
      <c r="A14" s="2" t="s">
        <v>2</v>
      </c>
      <c r="B14" s="1"/>
      <c r="C14" s="1"/>
      <c r="D14" s="2" t="s">
        <v>2</v>
      </c>
      <c r="E14" s="20" t="s">
        <v>29</v>
      </c>
      <c r="F14" s="11">
        <v>2</v>
      </c>
      <c r="G14" s="11">
        <f t="shared" si="0"/>
        <v>2000</v>
      </c>
      <c r="H14" s="16" t="s">
        <v>211</v>
      </c>
      <c r="I14" s="2" t="s">
        <v>142</v>
      </c>
      <c r="J14" s="1" t="s">
        <v>212</v>
      </c>
      <c r="K14" s="1" t="s">
        <v>213</v>
      </c>
      <c r="L14" s="1"/>
      <c r="M14" s="1"/>
      <c r="N14" s="1"/>
      <c r="O14" s="1"/>
      <c r="P14" s="1"/>
      <c r="Q14" s="1"/>
      <c r="R14" s="1"/>
      <c r="S14" s="1"/>
      <c r="T14" s="29">
        <v>1.12E-2</v>
      </c>
      <c r="U14" s="21">
        <f t="shared" si="1"/>
        <v>585.76</v>
      </c>
    </row>
    <row r="15" spans="1:21" ht="15.6">
      <c r="A15" s="2" t="s">
        <v>30</v>
      </c>
      <c r="B15" s="1"/>
      <c r="C15" s="1"/>
      <c r="D15" s="2" t="s">
        <v>30</v>
      </c>
      <c r="E15" s="20" t="s">
        <v>31</v>
      </c>
      <c r="F15" s="11">
        <v>1</v>
      </c>
      <c r="G15" s="11">
        <f t="shared" si="0"/>
        <v>1000</v>
      </c>
      <c r="H15" s="16" t="s">
        <v>14</v>
      </c>
      <c r="I15" s="2" t="s">
        <v>145</v>
      </c>
      <c r="J15" s="2" t="s">
        <v>160</v>
      </c>
      <c r="K15" s="2" t="s">
        <v>152</v>
      </c>
      <c r="L15" s="1"/>
      <c r="M15" s="1"/>
      <c r="N15" s="1"/>
      <c r="O15" s="1"/>
      <c r="P15" s="1"/>
      <c r="Q15" s="1"/>
      <c r="R15" s="1"/>
      <c r="S15" s="1"/>
      <c r="T15" s="28">
        <v>0.22059999999999999</v>
      </c>
      <c r="U15" s="21">
        <f t="shared" si="1"/>
        <v>5768.69</v>
      </c>
    </row>
    <row r="16" spans="1:21" ht="15.6">
      <c r="A16" s="2" t="s">
        <v>32</v>
      </c>
      <c r="B16" s="1"/>
      <c r="C16" s="1"/>
      <c r="D16" s="2" t="s">
        <v>32</v>
      </c>
      <c r="E16" s="22" t="s">
        <v>34</v>
      </c>
      <c r="F16" s="11">
        <v>1</v>
      </c>
      <c r="G16" s="11">
        <f t="shared" si="0"/>
        <v>1000</v>
      </c>
      <c r="H16" s="16" t="s">
        <v>33</v>
      </c>
      <c r="I16" s="2" t="s">
        <v>147</v>
      </c>
      <c r="J16" s="2" t="s">
        <v>164</v>
      </c>
      <c r="K16" s="2" t="s">
        <v>32</v>
      </c>
      <c r="L16" s="1"/>
      <c r="M16" s="1"/>
      <c r="N16" s="1"/>
      <c r="O16" s="1"/>
      <c r="P16" s="1"/>
      <c r="Q16" s="1"/>
      <c r="R16" s="1"/>
      <c r="S16" s="1"/>
      <c r="T16" s="28">
        <v>2.52E-2</v>
      </c>
      <c r="U16" s="21">
        <f t="shared" si="1"/>
        <v>658.98</v>
      </c>
    </row>
    <row r="17" spans="1:21" ht="15.6">
      <c r="A17" s="2" t="s">
        <v>35</v>
      </c>
      <c r="B17" s="1"/>
      <c r="C17" s="1"/>
      <c r="D17" s="2" t="s">
        <v>35</v>
      </c>
      <c r="E17" s="22" t="s">
        <v>36</v>
      </c>
      <c r="F17" s="11">
        <v>2</v>
      </c>
      <c r="G17" s="11">
        <f t="shared" si="0"/>
        <v>2000</v>
      </c>
      <c r="H17" s="16" t="s">
        <v>46</v>
      </c>
      <c r="I17" s="1" t="s">
        <v>148</v>
      </c>
      <c r="J17" s="1" t="s">
        <v>209</v>
      </c>
      <c r="K17" s="1" t="s">
        <v>35</v>
      </c>
      <c r="L17" s="1"/>
      <c r="M17" s="1"/>
      <c r="N17" s="1"/>
      <c r="O17" s="1"/>
      <c r="P17" s="1"/>
      <c r="Q17" s="1"/>
      <c r="R17" s="1"/>
      <c r="S17" s="1"/>
      <c r="T17" s="28">
        <v>9.9000000000000008E-3</v>
      </c>
      <c r="U17" s="21">
        <f t="shared" si="1"/>
        <v>517.7700000000001</v>
      </c>
    </row>
    <row r="18" spans="1:21" ht="15.6">
      <c r="A18" s="2" t="s">
        <v>37</v>
      </c>
      <c r="B18" s="1"/>
      <c r="C18" s="1"/>
      <c r="D18" s="2" t="s">
        <v>37</v>
      </c>
      <c r="E18" s="22" t="s">
        <v>39</v>
      </c>
      <c r="F18" s="11">
        <v>1</v>
      </c>
      <c r="G18" s="11">
        <f t="shared" si="0"/>
        <v>1000</v>
      </c>
      <c r="H18" s="16" t="s">
        <v>38</v>
      </c>
      <c r="I18" s="2" t="s">
        <v>142</v>
      </c>
      <c r="J18" s="2" t="s">
        <v>165</v>
      </c>
      <c r="K18" s="2" t="s">
        <v>154</v>
      </c>
      <c r="L18" s="1"/>
      <c r="M18" s="1"/>
      <c r="N18" s="1"/>
      <c r="O18" s="1"/>
      <c r="P18" s="1"/>
      <c r="Q18" s="1"/>
      <c r="R18" s="1"/>
      <c r="S18" s="1"/>
      <c r="T18" s="28">
        <v>2.8999999999999998E-3</v>
      </c>
      <c r="U18" s="21">
        <f t="shared" si="1"/>
        <v>75.834999999999994</v>
      </c>
    </row>
    <row r="19" spans="1:21" ht="15.6">
      <c r="A19" s="2" t="s">
        <v>40</v>
      </c>
      <c r="B19" s="1"/>
      <c r="C19" s="1"/>
      <c r="D19" s="2" t="s">
        <v>40</v>
      </c>
      <c r="E19" s="22" t="s">
        <v>41</v>
      </c>
      <c r="F19" s="11">
        <v>2</v>
      </c>
      <c r="G19" s="11">
        <f t="shared" si="0"/>
        <v>2000</v>
      </c>
      <c r="H19" s="16" t="s">
        <v>210</v>
      </c>
      <c r="I19" s="1" t="s">
        <v>149</v>
      </c>
      <c r="J19" s="1" t="s">
        <v>177</v>
      </c>
      <c r="K19" s="1" t="s">
        <v>40</v>
      </c>
      <c r="L19" s="1"/>
      <c r="M19" s="1"/>
      <c r="N19" s="1"/>
      <c r="O19" s="1"/>
      <c r="P19" s="1"/>
      <c r="Q19" s="1"/>
      <c r="R19" s="1"/>
      <c r="S19" s="1"/>
      <c r="T19" s="28">
        <v>9.7999999999999997E-3</v>
      </c>
      <c r="U19" s="21">
        <f t="shared" si="1"/>
        <v>512.54</v>
      </c>
    </row>
    <row r="20" spans="1:21" ht="15.6">
      <c r="A20" s="2" t="s">
        <v>42</v>
      </c>
      <c r="B20" s="1"/>
      <c r="C20" s="1"/>
      <c r="D20" s="2" t="s">
        <v>42</v>
      </c>
      <c r="E20" s="22" t="s">
        <v>44</v>
      </c>
      <c r="F20" s="11">
        <v>3</v>
      </c>
      <c r="G20" s="11">
        <f t="shared" si="0"/>
        <v>3000</v>
      </c>
      <c r="H20" s="16" t="s">
        <v>43</v>
      </c>
      <c r="I20" s="2" t="s">
        <v>148</v>
      </c>
      <c r="J20" s="2" t="s">
        <v>164</v>
      </c>
      <c r="K20" s="2" t="s">
        <v>42</v>
      </c>
      <c r="L20" s="1"/>
      <c r="M20" s="1"/>
      <c r="N20" s="1"/>
      <c r="O20" s="1"/>
      <c r="P20" s="1"/>
      <c r="Q20" s="1"/>
      <c r="R20" s="1"/>
      <c r="S20" s="1"/>
      <c r="T20" s="28">
        <v>1.66E-2</v>
      </c>
      <c r="U20" s="21">
        <f t="shared" si="1"/>
        <v>1302.27</v>
      </c>
    </row>
    <row r="21" spans="1:21" ht="15.6">
      <c r="A21" s="2" t="s">
        <v>45</v>
      </c>
      <c r="B21" s="1"/>
      <c r="C21" s="1"/>
      <c r="D21" s="2" t="s">
        <v>45</v>
      </c>
      <c r="E21" s="22" t="s">
        <v>47</v>
      </c>
      <c r="F21" s="11">
        <v>1</v>
      </c>
      <c r="G21" s="11">
        <f t="shared" si="0"/>
        <v>1000</v>
      </c>
      <c r="H21" s="16" t="s">
        <v>46</v>
      </c>
      <c r="I21" s="2" t="s">
        <v>148</v>
      </c>
      <c r="J21" s="2" t="s">
        <v>166</v>
      </c>
      <c r="K21" s="2" t="s">
        <v>45</v>
      </c>
      <c r="L21" s="1"/>
      <c r="M21" s="1"/>
      <c r="N21" s="1"/>
      <c r="O21" s="1"/>
      <c r="P21" s="1"/>
      <c r="Q21" s="1"/>
      <c r="R21" s="1"/>
      <c r="S21" s="1"/>
      <c r="T21" s="28">
        <v>1.12E-2</v>
      </c>
      <c r="U21" s="21">
        <f t="shared" si="1"/>
        <v>292.88</v>
      </c>
    </row>
    <row r="22" spans="1:21" ht="15.6">
      <c r="A22" s="2" t="s">
        <v>48</v>
      </c>
      <c r="B22" s="1"/>
      <c r="C22" s="1"/>
      <c r="D22" s="2" t="s">
        <v>190</v>
      </c>
      <c r="E22" s="22" t="s">
        <v>50</v>
      </c>
      <c r="F22" s="11">
        <v>1</v>
      </c>
      <c r="G22" s="11">
        <f t="shared" si="0"/>
        <v>1000</v>
      </c>
      <c r="H22" s="16" t="s">
        <v>49</v>
      </c>
      <c r="I22" s="1" t="s">
        <v>191</v>
      </c>
      <c r="J22" s="2" t="s">
        <v>167</v>
      </c>
      <c r="K22" s="2" t="s">
        <v>48</v>
      </c>
      <c r="L22" s="1"/>
      <c r="M22" s="1"/>
      <c r="N22" s="1"/>
      <c r="O22" s="1"/>
      <c r="P22" s="1"/>
      <c r="Q22" s="1"/>
      <c r="R22" s="1"/>
      <c r="S22" s="1"/>
      <c r="T22" s="28"/>
      <c r="U22" s="21">
        <f t="shared" si="1"/>
        <v>0</v>
      </c>
    </row>
    <row r="23" spans="1:21" ht="15.6">
      <c r="A23" s="2" t="s">
        <v>51</v>
      </c>
      <c r="B23" s="1"/>
      <c r="C23" s="1"/>
      <c r="D23" s="2" t="s">
        <v>183</v>
      </c>
      <c r="E23" s="22" t="s">
        <v>53</v>
      </c>
      <c r="F23" s="11">
        <v>1</v>
      </c>
      <c r="G23" s="11">
        <f t="shared" si="0"/>
        <v>1000</v>
      </c>
      <c r="H23" s="16" t="s">
        <v>52</v>
      </c>
      <c r="I23" s="1" t="s">
        <v>191</v>
      </c>
      <c r="J23" s="2" t="s">
        <v>168</v>
      </c>
      <c r="K23" s="2" t="s">
        <v>51</v>
      </c>
      <c r="L23" s="1"/>
      <c r="M23" s="1"/>
      <c r="N23" s="1"/>
      <c r="O23" s="1"/>
      <c r="P23" s="1"/>
      <c r="Q23" s="1"/>
      <c r="R23" s="1"/>
      <c r="S23" s="1"/>
      <c r="T23" s="28"/>
      <c r="U23" s="21">
        <f t="shared" si="1"/>
        <v>0</v>
      </c>
    </row>
    <row r="24" spans="1:21" ht="15.6">
      <c r="A24" s="2" t="s">
        <v>54</v>
      </c>
      <c r="B24" s="1"/>
      <c r="C24" s="1"/>
      <c r="D24" s="2" t="s">
        <v>182</v>
      </c>
      <c r="E24" s="22" t="s">
        <v>56</v>
      </c>
      <c r="F24" s="11">
        <v>1</v>
      </c>
      <c r="G24" s="11">
        <f t="shared" si="0"/>
        <v>1000</v>
      </c>
      <c r="H24" s="16" t="s">
        <v>55</v>
      </c>
      <c r="I24" s="1" t="s">
        <v>191</v>
      </c>
      <c r="J24" s="2" t="s">
        <v>169</v>
      </c>
      <c r="K24" s="2" t="s">
        <v>54</v>
      </c>
      <c r="L24" s="1"/>
      <c r="M24" s="1"/>
      <c r="N24" s="1"/>
      <c r="O24" s="1"/>
      <c r="P24" s="1"/>
      <c r="Q24" s="1"/>
      <c r="R24" s="1"/>
      <c r="S24" s="1"/>
      <c r="T24" s="28"/>
      <c r="U24" s="21">
        <f t="shared" si="1"/>
        <v>0</v>
      </c>
    </row>
    <row r="25" spans="1:21" ht="15.6">
      <c r="A25" s="2" t="s">
        <v>57</v>
      </c>
      <c r="B25" s="1"/>
      <c r="C25" s="1"/>
      <c r="D25" s="2" t="s">
        <v>184</v>
      </c>
      <c r="E25" s="22" t="s">
        <v>59</v>
      </c>
      <c r="F25" s="11">
        <v>1</v>
      </c>
      <c r="G25" s="11">
        <f t="shared" si="0"/>
        <v>1000</v>
      </c>
      <c r="H25" s="16" t="s">
        <v>58</v>
      </c>
      <c r="I25" s="1" t="s">
        <v>191</v>
      </c>
      <c r="J25" s="2" t="s">
        <v>170</v>
      </c>
      <c r="K25" s="2" t="s">
        <v>57</v>
      </c>
      <c r="L25" s="1"/>
      <c r="M25" s="1"/>
      <c r="N25" s="1"/>
      <c r="O25" s="1"/>
      <c r="P25" s="1"/>
      <c r="Q25" s="1"/>
      <c r="R25" s="1"/>
      <c r="S25" s="1"/>
      <c r="T25" s="28"/>
      <c r="U25" s="21">
        <f t="shared" si="1"/>
        <v>0</v>
      </c>
    </row>
    <row r="26" spans="1:21" ht="15.6">
      <c r="A26" s="2" t="s">
        <v>60</v>
      </c>
      <c r="B26" s="1"/>
      <c r="C26" s="1"/>
      <c r="D26" s="2" t="s">
        <v>60</v>
      </c>
      <c r="E26" s="23" t="s">
        <v>62</v>
      </c>
      <c r="F26" s="11">
        <v>1</v>
      </c>
      <c r="G26" s="11">
        <f t="shared" si="0"/>
        <v>1000</v>
      </c>
      <c r="H26" s="16" t="s">
        <v>61</v>
      </c>
      <c r="I26" s="2" t="s">
        <v>149</v>
      </c>
      <c r="J26" s="2" t="s">
        <v>171</v>
      </c>
      <c r="K26" s="2" t="s">
        <v>60</v>
      </c>
      <c r="L26" s="1"/>
      <c r="M26" s="1"/>
      <c r="N26" s="1"/>
      <c r="O26" s="1"/>
      <c r="P26" s="1"/>
      <c r="Q26" s="1"/>
      <c r="R26" s="1"/>
      <c r="S26" s="1"/>
      <c r="T26" s="28">
        <v>3.1899999999999998E-2</v>
      </c>
      <c r="U26" s="21">
        <f t="shared" si="1"/>
        <v>834.18499999999995</v>
      </c>
    </row>
    <row r="27" spans="1:21" ht="15.6">
      <c r="A27" s="2" t="s">
        <v>63</v>
      </c>
      <c r="B27" s="1"/>
      <c r="C27" s="1"/>
      <c r="D27" s="2" t="s">
        <v>63</v>
      </c>
      <c r="E27" s="23" t="s">
        <v>65</v>
      </c>
      <c r="F27" s="11">
        <v>3</v>
      </c>
      <c r="G27" s="11">
        <f t="shared" si="0"/>
        <v>3000</v>
      </c>
      <c r="H27" s="16" t="s">
        <v>64</v>
      </c>
      <c r="I27" s="2" t="s">
        <v>149</v>
      </c>
      <c r="J27" s="2" t="s">
        <v>172</v>
      </c>
      <c r="K27" s="2" t="s">
        <v>63</v>
      </c>
      <c r="L27" s="1"/>
      <c r="M27" s="1"/>
      <c r="N27" s="1"/>
      <c r="O27" s="1"/>
      <c r="P27" s="1"/>
      <c r="Q27" s="1"/>
      <c r="R27" s="1"/>
      <c r="S27" s="1"/>
      <c r="T27" s="28">
        <v>5.7099999999999998E-2</v>
      </c>
      <c r="U27" s="21">
        <f t="shared" si="1"/>
        <v>4479.4949999999999</v>
      </c>
    </row>
    <row r="28" spans="1:21" ht="15.6">
      <c r="A28" s="2" t="s">
        <v>66</v>
      </c>
      <c r="B28" s="1"/>
      <c r="C28" s="1"/>
      <c r="D28" s="2" t="s">
        <v>66</v>
      </c>
      <c r="E28" s="24" t="s">
        <v>68</v>
      </c>
      <c r="F28" s="11">
        <v>1</v>
      </c>
      <c r="G28" s="11">
        <f t="shared" si="0"/>
        <v>1000</v>
      </c>
      <c r="H28" s="16" t="s">
        <v>67</v>
      </c>
      <c r="I28" s="2" t="s">
        <v>150</v>
      </c>
      <c r="J28" s="2" t="s">
        <v>173</v>
      </c>
      <c r="K28" s="2" t="s">
        <v>155</v>
      </c>
      <c r="L28" s="1"/>
      <c r="M28" s="1"/>
      <c r="N28" s="1"/>
      <c r="O28" s="1"/>
      <c r="P28" s="1"/>
      <c r="Q28" s="1"/>
      <c r="R28" s="1"/>
      <c r="S28" s="1"/>
      <c r="T28" s="28">
        <v>0.06</v>
      </c>
      <c r="U28" s="21">
        <f t="shared" si="1"/>
        <v>1569</v>
      </c>
    </row>
    <row r="29" spans="1:21" ht="15.6">
      <c r="A29" s="2" t="s">
        <v>69</v>
      </c>
      <c r="B29" s="1"/>
      <c r="C29" s="1"/>
      <c r="D29" s="2" t="s">
        <v>19</v>
      </c>
      <c r="E29" s="24" t="s">
        <v>71</v>
      </c>
      <c r="F29" s="11">
        <v>1</v>
      </c>
      <c r="G29" s="11">
        <f t="shared" si="0"/>
        <v>1000</v>
      </c>
      <c r="H29" s="16" t="s">
        <v>70</v>
      </c>
      <c r="I29" s="1">
        <v>402</v>
      </c>
      <c r="J29" s="2" t="s">
        <v>163</v>
      </c>
      <c r="K29" s="2" t="s">
        <v>69</v>
      </c>
      <c r="L29" s="1"/>
      <c r="M29" s="1"/>
      <c r="N29" s="1"/>
      <c r="O29" s="1"/>
      <c r="P29" s="1"/>
      <c r="Q29" s="1"/>
      <c r="R29" s="1"/>
      <c r="S29" s="1"/>
      <c r="T29" s="28">
        <v>4.8800000000000003E-2</v>
      </c>
      <c r="U29" s="21">
        <f t="shared" si="1"/>
        <v>1276.1200000000001</v>
      </c>
    </row>
    <row r="30" spans="1:21" ht="15.6">
      <c r="A30" s="2" t="s">
        <v>72</v>
      </c>
      <c r="B30" s="1"/>
      <c r="C30" s="1"/>
      <c r="D30" s="2" t="s">
        <v>185</v>
      </c>
      <c r="E30" s="24" t="s">
        <v>74</v>
      </c>
      <c r="F30" s="11">
        <v>2</v>
      </c>
      <c r="G30" s="11">
        <f t="shared" si="0"/>
        <v>2000</v>
      </c>
      <c r="H30" s="16" t="s">
        <v>73</v>
      </c>
      <c r="I30" s="2" t="s">
        <v>145</v>
      </c>
      <c r="J30" s="2" t="s">
        <v>163</v>
      </c>
      <c r="K30" s="2" t="s">
        <v>72</v>
      </c>
      <c r="L30" s="1"/>
      <c r="M30" s="1"/>
      <c r="N30" s="1"/>
      <c r="O30" s="1"/>
      <c r="P30" s="1"/>
      <c r="Q30" s="1"/>
      <c r="R30" s="1"/>
      <c r="S30" s="1"/>
      <c r="T30" s="28">
        <v>4.8800000000000003E-2</v>
      </c>
      <c r="U30" s="21">
        <f t="shared" si="1"/>
        <v>2552.2400000000002</v>
      </c>
    </row>
    <row r="31" spans="1:21" ht="15.6">
      <c r="A31" s="2" t="s">
        <v>75</v>
      </c>
      <c r="B31" s="1"/>
      <c r="C31" s="1"/>
      <c r="D31" s="2" t="s">
        <v>75</v>
      </c>
      <c r="E31" s="8" t="s">
        <v>77</v>
      </c>
      <c r="F31" s="11">
        <v>1</v>
      </c>
      <c r="G31" s="11">
        <f t="shared" si="0"/>
        <v>1000</v>
      </c>
      <c r="H31" s="16" t="s">
        <v>76</v>
      </c>
      <c r="I31" s="1"/>
      <c r="J31" s="2" t="s">
        <v>174</v>
      </c>
      <c r="K31" s="1"/>
      <c r="L31" s="1"/>
      <c r="M31" s="1"/>
      <c r="N31" s="1"/>
      <c r="O31" s="1"/>
      <c r="P31" s="1"/>
      <c r="Q31" s="1"/>
      <c r="R31" s="1"/>
      <c r="S31" s="1"/>
      <c r="T31" s="28"/>
      <c r="U31" s="21"/>
    </row>
    <row r="32" spans="1:21" ht="15.6">
      <c r="A32" s="2" t="s">
        <v>78</v>
      </c>
      <c r="B32" s="1"/>
      <c r="C32" s="1"/>
      <c r="D32" s="2" t="s">
        <v>78</v>
      </c>
      <c r="E32" s="8" t="s">
        <v>80</v>
      </c>
      <c r="F32" s="11">
        <v>2</v>
      </c>
      <c r="G32" s="11">
        <f t="shared" si="0"/>
        <v>2000</v>
      </c>
      <c r="H32" s="16" t="s">
        <v>79</v>
      </c>
      <c r="I32" s="1" t="s">
        <v>189</v>
      </c>
      <c r="J32" s="2" t="s">
        <v>172</v>
      </c>
      <c r="K32" s="2" t="s">
        <v>78</v>
      </c>
      <c r="L32" s="1"/>
      <c r="M32" s="1"/>
      <c r="N32" s="1"/>
      <c r="O32" s="1"/>
      <c r="P32" s="1"/>
      <c r="Q32" s="1"/>
      <c r="R32" s="1"/>
      <c r="S32" s="1"/>
      <c r="T32" s="28">
        <v>4.0399999999999998E-2</v>
      </c>
      <c r="U32" s="21">
        <f t="shared" si="1"/>
        <v>2112.92</v>
      </c>
    </row>
    <row r="33" spans="1:21" ht="15.6">
      <c r="A33" s="2" t="s">
        <v>78</v>
      </c>
      <c r="B33" s="1"/>
      <c r="C33" s="1"/>
      <c r="D33" s="2" t="s">
        <v>78</v>
      </c>
      <c r="E33" s="8" t="s">
        <v>82</v>
      </c>
      <c r="F33" s="11">
        <v>3</v>
      </c>
      <c r="G33" s="11">
        <f t="shared" si="0"/>
        <v>3000</v>
      </c>
      <c r="H33" s="16" t="s">
        <v>81</v>
      </c>
      <c r="I33" s="1" t="str">
        <f>I32</f>
        <v>SOT23-3</v>
      </c>
      <c r="J33" s="2" t="s">
        <v>172</v>
      </c>
      <c r="K33" s="2" t="s">
        <v>78</v>
      </c>
      <c r="L33" s="1"/>
      <c r="M33" s="1"/>
      <c r="N33" s="1"/>
      <c r="O33" s="1"/>
      <c r="P33" s="1"/>
      <c r="Q33" s="1"/>
      <c r="R33" s="1"/>
      <c r="S33" s="1"/>
      <c r="T33" s="28">
        <v>4.0399999999999998E-2</v>
      </c>
      <c r="U33" s="21">
        <f t="shared" si="1"/>
        <v>3169.38</v>
      </c>
    </row>
    <row r="34" spans="1:21" ht="15.6">
      <c r="A34" s="2" t="s">
        <v>83</v>
      </c>
      <c r="B34" s="1"/>
      <c r="C34" s="1"/>
      <c r="D34" s="2" t="s">
        <v>83</v>
      </c>
      <c r="E34" s="25" t="s">
        <v>85</v>
      </c>
      <c r="F34" s="11">
        <v>1</v>
      </c>
      <c r="G34" s="11">
        <f t="shared" si="0"/>
        <v>1000</v>
      </c>
      <c r="H34" s="16" t="s">
        <v>84</v>
      </c>
      <c r="I34" s="2" t="s">
        <v>142</v>
      </c>
      <c r="J34" s="2" t="s">
        <v>160</v>
      </c>
      <c r="K34" s="2" t="s">
        <v>156</v>
      </c>
      <c r="L34" s="1"/>
      <c r="M34" s="1"/>
      <c r="N34" s="1"/>
      <c r="O34" s="1"/>
      <c r="P34" s="1"/>
      <c r="Q34" s="1"/>
      <c r="R34" s="1"/>
      <c r="S34" s="1"/>
      <c r="T34" s="28">
        <v>5.7000000000000002E-3</v>
      </c>
      <c r="U34" s="21">
        <f t="shared" si="1"/>
        <v>149.05500000000001</v>
      </c>
    </row>
    <row r="35" spans="1:21" ht="15.6">
      <c r="A35" s="2" t="s">
        <v>86</v>
      </c>
      <c r="B35" s="1"/>
      <c r="C35" s="1"/>
      <c r="D35" s="2" t="s">
        <v>86</v>
      </c>
      <c r="E35" s="25" t="s">
        <v>88</v>
      </c>
      <c r="F35" s="11">
        <v>4</v>
      </c>
      <c r="G35" s="11">
        <f t="shared" si="0"/>
        <v>4000</v>
      </c>
      <c r="H35" s="16" t="s">
        <v>87</v>
      </c>
      <c r="I35" s="2" t="s">
        <v>142</v>
      </c>
      <c r="J35" s="2" t="s">
        <v>160</v>
      </c>
      <c r="K35" s="2" t="s">
        <v>156</v>
      </c>
      <c r="L35" s="1"/>
      <c r="M35" s="1"/>
      <c r="N35" s="1"/>
      <c r="O35" s="1"/>
      <c r="P35" s="1"/>
      <c r="Q35" s="1"/>
      <c r="R35" s="1"/>
      <c r="S35" s="1"/>
      <c r="T35" s="28">
        <v>3.8E-3</v>
      </c>
      <c r="U35" s="21">
        <f t="shared" si="1"/>
        <v>397.48</v>
      </c>
    </row>
    <row r="36" spans="1:21" ht="15.6">
      <c r="A36" s="2" t="s">
        <v>89</v>
      </c>
      <c r="B36" s="1"/>
      <c r="C36" s="1"/>
      <c r="D36" s="2" t="s">
        <v>89</v>
      </c>
      <c r="E36" s="25" t="s">
        <v>91</v>
      </c>
      <c r="F36" s="11">
        <v>1</v>
      </c>
      <c r="G36" s="11">
        <f t="shared" si="0"/>
        <v>1000</v>
      </c>
      <c r="H36" s="16" t="s">
        <v>90</v>
      </c>
      <c r="I36" s="2" t="s">
        <v>142</v>
      </c>
      <c r="J36" s="2" t="s">
        <v>160</v>
      </c>
      <c r="K36" s="2" t="s">
        <v>157</v>
      </c>
      <c r="L36" s="1"/>
      <c r="M36" s="1"/>
      <c r="N36" s="1"/>
      <c r="O36" s="1"/>
      <c r="P36" s="1"/>
      <c r="Q36" s="1"/>
      <c r="R36" s="1"/>
      <c r="S36" s="1"/>
      <c r="T36" s="28">
        <v>6.4000000000000003E-3</v>
      </c>
      <c r="U36" s="21">
        <f t="shared" si="1"/>
        <v>167.36</v>
      </c>
    </row>
    <row r="37" spans="1:21" ht="57.6">
      <c r="A37" s="2" t="s">
        <v>92</v>
      </c>
      <c r="B37" s="1"/>
      <c r="C37" s="1"/>
      <c r="D37" s="2" t="s">
        <v>92</v>
      </c>
      <c r="E37" s="25" t="s">
        <v>94</v>
      </c>
      <c r="F37" s="11">
        <v>16</v>
      </c>
      <c r="G37" s="11">
        <f t="shared" si="0"/>
        <v>16000</v>
      </c>
      <c r="H37" s="16" t="s">
        <v>93</v>
      </c>
      <c r="I37" s="2" t="s">
        <v>142</v>
      </c>
      <c r="J37" s="2" t="s">
        <v>160</v>
      </c>
      <c r="K37" s="2" t="s">
        <v>157</v>
      </c>
      <c r="L37" s="1"/>
      <c r="M37" s="1"/>
      <c r="N37" s="1"/>
      <c r="O37" s="1"/>
      <c r="P37" s="1"/>
      <c r="Q37" s="1"/>
      <c r="R37" s="1"/>
      <c r="S37" s="1"/>
      <c r="T37" s="28">
        <v>3.5000000000000001E-3</v>
      </c>
      <c r="U37" s="21">
        <f t="shared" si="1"/>
        <v>1464.4</v>
      </c>
    </row>
    <row r="38" spans="1:21" ht="15.6">
      <c r="A38" s="2" t="s">
        <v>95</v>
      </c>
      <c r="B38" s="1"/>
      <c r="C38" s="1"/>
      <c r="D38" s="2" t="s">
        <v>186</v>
      </c>
      <c r="E38" s="25" t="s">
        <v>97</v>
      </c>
      <c r="F38" s="11">
        <v>2</v>
      </c>
      <c r="G38" s="11">
        <f t="shared" si="0"/>
        <v>2000</v>
      </c>
      <c r="H38" s="16" t="s">
        <v>96</v>
      </c>
      <c r="I38" s="2" t="s">
        <v>142</v>
      </c>
      <c r="J38" s="2" t="s">
        <v>160</v>
      </c>
      <c r="K38" s="2" t="s">
        <v>158</v>
      </c>
      <c r="L38" s="1"/>
      <c r="M38" s="1"/>
      <c r="N38" s="1"/>
      <c r="O38" s="1"/>
      <c r="P38" s="1"/>
      <c r="Q38" s="1"/>
      <c r="R38" s="1"/>
      <c r="S38" s="1"/>
      <c r="T38" s="28">
        <v>6.1000000000000004E-3</v>
      </c>
      <c r="U38" s="21">
        <f t="shared" si="1"/>
        <v>319.03000000000003</v>
      </c>
    </row>
    <row r="39" spans="1:21" ht="28.8">
      <c r="A39" s="2" t="s">
        <v>98</v>
      </c>
      <c r="B39" s="1"/>
      <c r="C39" s="1"/>
      <c r="D39" s="2" t="s">
        <v>98</v>
      </c>
      <c r="E39" s="25" t="s">
        <v>100</v>
      </c>
      <c r="F39" s="11">
        <v>5</v>
      </c>
      <c r="G39" s="11">
        <f t="shared" si="0"/>
        <v>5000</v>
      </c>
      <c r="H39" s="16" t="s">
        <v>99</v>
      </c>
      <c r="I39" s="2" t="s">
        <v>142</v>
      </c>
      <c r="J39" s="2" t="s">
        <v>160</v>
      </c>
      <c r="K39" s="2" t="s">
        <v>159</v>
      </c>
      <c r="L39" s="1"/>
      <c r="M39" s="1"/>
      <c r="N39" s="1"/>
      <c r="O39" s="1"/>
      <c r="P39" s="1"/>
      <c r="Q39" s="1"/>
      <c r="R39" s="1"/>
      <c r="S39" s="1"/>
      <c r="T39" s="28">
        <v>6.1999999999999998E-3</v>
      </c>
      <c r="U39" s="21">
        <f t="shared" si="1"/>
        <v>810.65</v>
      </c>
    </row>
    <row r="40" spans="1:21" ht="15.6">
      <c r="A40" s="2" t="s">
        <v>101</v>
      </c>
      <c r="B40" s="1"/>
      <c r="C40" s="1"/>
      <c r="D40" s="2" t="s">
        <v>101</v>
      </c>
      <c r="E40" s="25" t="s">
        <v>103</v>
      </c>
      <c r="F40" s="11">
        <v>2</v>
      </c>
      <c r="G40" s="11">
        <f t="shared" si="0"/>
        <v>2000</v>
      </c>
      <c r="H40" s="16" t="s">
        <v>214</v>
      </c>
      <c r="I40" s="2" t="str">
        <f>I39</f>
        <v>0603</v>
      </c>
      <c r="J40" s="2" t="s">
        <v>160</v>
      </c>
      <c r="K40" s="1" t="s">
        <v>215</v>
      </c>
      <c r="L40" s="1"/>
      <c r="M40" s="1"/>
      <c r="N40" s="1"/>
      <c r="O40" s="1"/>
      <c r="P40" s="1"/>
      <c r="Q40" s="1"/>
      <c r="R40" s="1"/>
      <c r="S40" s="1"/>
      <c r="T40" s="28">
        <v>4.3E-3</v>
      </c>
      <c r="U40" s="21">
        <f t="shared" si="1"/>
        <v>224.89</v>
      </c>
    </row>
    <row r="41" spans="1:21" ht="28.8">
      <c r="A41" s="2" t="s">
        <v>104</v>
      </c>
      <c r="B41" s="1"/>
      <c r="C41" s="1"/>
      <c r="D41" s="2" t="s">
        <v>104</v>
      </c>
      <c r="E41" s="25" t="s">
        <v>105</v>
      </c>
      <c r="F41" s="11">
        <v>6</v>
      </c>
      <c r="G41" s="11">
        <f t="shared" si="0"/>
        <v>6000</v>
      </c>
      <c r="H41" s="16" t="s">
        <v>217</v>
      </c>
      <c r="I41" s="2" t="str">
        <f>I40</f>
        <v>0603</v>
      </c>
      <c r="J41" s="2" t="s">
        <v>160</v>
      </c>
      <c r="K41" s="1" t="s">
        <v>216</v>
      </c>
      <c r="L41" s="1"/>
      <c r="M41" s="1"/>
      <c r="N41" s="1"/>
      <c r="O41" s="1"/>
      <c r="P41" s="1"/>
      <c r="Q41" s="1"/>
      <c r="R41" s="1"/>
      <c r="S41" s="1"/>
      <c r="T41" s="28">
        <v>3.8E-3</v>
      </c>
      <c r="U41" s="21">
        <f t="shared" si="1"/>
        <v>596.22</v>
      </c>
    </row>
    <row r="42" spans="1:21" ht="15.6">
      <c r="A42" s="2" t="s">
        <v>106</v>
      </c>
      <c r="B42" s="1"/>
      <c r="C42" s="1"/>
      <c r="D42" s="2" t="s">
        <v>106</v>
      </c>
      <c r="E42" s="25" t="s">
        <v>107</v>
      </c>
      <c r="F42" s="11">
        <v>4</v>
      </c>
      <c r="G42" s="11">
        <f t="shared" si="0"/>
        <v>4000</v>
      </c>
      <c r="H42" s="16" t="s">
        <v>93</v>
      </c>
      <c r="I42" s="2" t="s">
        <v>142</v>
      </c>
      <c r="J42" s="2" t="s">
        <v>160</v>
      </c>
      <c r="K42" s="2" t="s">
        <v>157</v>
      </c>
      <c r="L42" s="1"/>
      <c r="M42" s="1"/>
      <c r="N42" s="1"/>
      <c r="O42" s="1"/>
      <c r="P42" s="1"/>
      <c r="Q42" s="1"/>
      <c r="R42" s="1"/>
      <c r="S42" s="1"/>
      <c r="T42" s="28">
        <v>4.3E-3</v>
      </c>
      <c r="U42" s="21">
        <f t="shared" si="1"/>
        <v>449.78</v>
      </c>
    </row>
    <row r="43" spans="1:21" ht="15.6">
      <c r="A43" s="2" t="s">
        <v>108</v>
      </c>
      <c r="B43" s="1"/>
      <c r="C43" s="1"/>
      <c r="D43" s="2" t="s">
        <v>108</v>
      </c>
      <c r="E43" s="25" t="s">
        <v>109</v>
      </c>
      <c r="F43" s="11">
        <v>2</v>
      </c>
      <c r="G43" s="11">
        <f t="shared" si="0"/>
        <v>2000</v>
      </c>
      <c r="H43" s="16" t="s">
        <v>102</v>
      </c>
      <c r="I43" s="2" t="str">
        <f>I42</f>
        <v>0603</v>
      </c>
      <c r="J43" s="2" t="s">
        <v>160</v>
      </c>
      <c r="K43" s="1"/>
      <c r="L43" s="1"/>
      <c r="M43" s="1"/>
      <c r="N43" s="1"/>
      <c r="O43" s="1"/>
      <c r="P43" s="1"/>
      <c r="Q43" s="1"/>
      <c r="R43" s="1"/>
      <c r="S43" s="1"/>
      <c r="T43" s="28">
        <v>2.7699999999999999E-2</v>
      </c>
      <c r="U43" s="21">
        <f>T43*26150*F43</f>
        <v>1448.71</v>
      </c>
    </row>
    <row r="44" spans="1:21" ht="15" customHeight="1">
      <c r="A44" s="2" t="s">
        <v>110</v>
      </c>
      <c r="B44" s="1"/>
      <c r="C44" s="1"/>
      <c r="D44" s="2" t="s">
        <v>187</v>
      </c>
      <c r="E44" s="8" t="s">
        <v>111</v>
      </c>
      <c r="F44" s="11">
        <v>2</v>
      </c>
      <c r="G44" s="11">
        <f t="shared" si="0"/>
        <v>2000</v>
      </c>
      <c r="H44" s="16" t="s">
        <v>192</v>
      </c>
      <c r="I44" s="1" t="s">
        <v>193</v>
      </c>
      <c r="J44" s="1" t="s">
        <v>194</v>
      </c>
      <c r="K44" s="1" t="s">
        <v>110</v>
      </c>
      <c r="L44" s="33">
        <v>1</v>
      </c>
      <c r="M44" s="33">
        <v>1</v>
      </c>
      <c r="N44" s="33">
        <v>2.4700000000000002</v>
      </c>
      <c r="O44" s="33">
        <f>N44*3.888</f>
        <v>9.6033600000000003</v>
      </c>
      <c r="P44" s="33">
        <f>O44/L44*M44</f>
        <v>9.6033600000000003</v>
      </c>
      <c r="Q44" s="1"/>
      <c r="R44" s="1"/>
      <c r="S44" s="1" t="s">
        <v>233</v>
      </c>
      <c r="T44" s="28"/>
      <c r="U44" s="21">
        <f t="shared" ref="U44:U52" si="2">T44*26150*F44</f>
        <v>0</v>
      </c>
    </row>
    <row r="45" spans="1:21" ht="15.6">
      <c r="A45" s="2" t="s">
        <v>112</v>
      </c>
      <c r="B45" s="1"/>
      <c r="C45" s="1"/>
      <c r="D45" s="2" t="s">
        <v>113</v>
      </c>
      <c r="E45" s="8" t="s">
        <v>114</v>
      </c>
      <c r="F45" s="11">
        <v>1</v>
      </c>
      <c r="G45" s="11">
        <f t="shared" si="0"/>
        <v>1000</v>
      </c>
      <c r="H45" s="16" t="s">
        <v>195</v>
      </c>
      <c r="I45" s="1" t="s">
        <v>196</v>
      </c>
      <c r="J45" s="1" t="s">
        <v>218</v>
      </c>
      <c r="K45" s="1" t="s">
        <v>197</v>
      </c>
      <c r="L45" s="1"/>
      <c r="M45" s="1"/>
      <c r="N45" s="1"/>
      <c r="O45" s="1"/>
      <c r="P45" s="1"/>
      <c r="Q45" s="1"/>
      <c r="R45" s="1"/>
      <c r="S45" s="1"/>
      <c r="T45" s="31">
        <v>1.5599999999999999E-2</v>
      </c>
      <c r="U45" s="21">
        <f t="shared" si="2"/>
        <v>407.94</v>
      </c>
    </row>
    <row r="46" spans="1:21" ht="24">
      <c r="A46" s="2" t="s">
        <v>115</v>
      </c>
      <c r="B46" s="1"/>
      <c r="C46" s="1"/>
      <c r="D46" s="2" t="s">
        <v>115</v>
      </c>
      <c r="E46" s="8" t="s">
        <v>116</v>
      </c>
      <c r="F46" s="11">
        <v>1</v>
      </c>
      <c r="G46" s="11">
        <f t="shared" si="0"/>
        <v>1000</v>
      </c>
      <c r="H46" s="16" t="s">
        <v>198</v>
      </c>
      <c r="I46" s="2" t="s">
        <v>199</v>
      </c>
      <c r="J46" s="1" t="s">
        <v>200</v>
      </c>
      <c r="K46" s="1" t="s">
        <v>115</v>
      </c>
      <c r="L46" s="1"/>
      <c r="M46" s="1"/>
      <c r="N46" s="1"/>
      <c r="O46" s="1"/>
      <c r="P46" s="1"/>
      <c r="Q46" s="1"/>
      <c r="R46" s="1"/>
      <c r="S46" s="1"/>
      <c r="T46" s="32">
        <v>9.5299999999999996E-2</v>
      </c>
      <c r="U46" s="21">
        <f t="shared" si="2"/>
        <v>2492.0949999999998</v>
      </c>
    </row>
    <row r="47" spans="1:21" ht="24">
      <c r="A47" s="2" t="s">
        <v>117</v>
      </c>
      <c r="B47" s="1"/>
      <c r="C47" s="1"/>
      <c r="D47" s="2" t="s">
        <v>117</v>
      </c>
      <c r="E47" s="8" t="s">
        <v>119</v>
      </c>
      <c r="F47" s="11">
        <v>1</v>
      </c>
      <c r="G47" s="11">
        <f t="shared" si="0"/>
        <v>1000</v>
      </c>
      <c r="H47" s="16" t="s">
        <v>118</v>
      </c>
      <c r="I47" s="1" t="s">
        <v>201</v>
      </c>
      <c r="J47" s="2" t="s">
        <v>175</v>
      </c>
      <c r="K47" s="2" t="s">
        <v>117</v>
      </c>
      <c r="L47" s="1"/>
      <c r="M47" s="1"/>
      <c r="N47" s="1"/>
      <c r="O47" s="1"/>
      <c r="P47" s="1"/>
      <c r="Q47" s="1"/>
      <c r="R47" s="1"/>
      <c r="S47" s="1"/>
      <c r="T47" s="32">
        <v>8.4599999999999995E-2</v>
      </c>
      <c r="U47" s="21">
        <f t="shared" si="2"/>
        <v>2212.29</v>
      </c>
    </row>
    <row r="48" spans="1:21" ht="15.6">
      <c r="A48" s="2" t="s">
        <v>120</v>
      </c>
      <c r="B48" s="1"/>
      <c r="C48" s="1"/>
      <c r="D48" s="2" t="s">
        <v>120</v>
      </c>
      <c r="E48" s="8" t="s">
        <v>122</v>
      </c>
      <c r="F48" s="11">
        <v>1</v>
      </c>
      <c r="G48" s="11">
        <f t="shared" si="0"/>
        <v>1000</v>
      </c>
      <c r="H48" s="16" t="s">
        <v>121</v>
      </c>
      <c r="I48" s="2" t="s">
        <v>151</v>
      </c>
      <c r="J48" s="2" t="s">
        <v>176</v>
      </c>
      <c r="K48" s="2" t="s">
        <v>120</v>
      </c>
      <c r="L48" s="33">
        <v>1</v>
      </c>
      <c r="M48" s="33">
        <v>1</v>
      </c>
      <c r="N48" s="33">
        <v>7</v>
      </c>
      <c r="O48" s="33">
        <v>27.216000000000001</v>
      </c>
      <c r="P48" s="33">
        <v>27.216000000000001</v>
      </c>
      <c r="Q48" s="1"/>
      <c r="R48" s="1"/>
      <c r="S48" s="1"/>
      <c r="T48" s="28"/>
      <c r="U48" s="21">
        <f t="shared" si="2"/>
        <v>0</v>
      </c>
    </row>
    <row r="49" spans="1:25" ht="24">
      <c r="A49" s="2" t="s">
        <v>123</v>
      </c>
      <c r="B49" s="1"/>
      <c r="C49" s="1"/>
      <c r="D49" s="2" t="s">
        <v>123</v>
      </c>
      <c r="E49" s="8" t="s">
        <v>125</v>
      </c>
      <c r="F49" s="11">
        <v>1</v>
      </c>
      <c r="G49" s="11">
        <f t="shared" si="0"/>
        <v>1000</v>
      </c>
      <c r="H49" s="16" t="s">
        <v>124</v>
      </c>
      <c r="I49" s="1" t="s">
        <v>202</v>
      </c>
      <c r="J49" s="2" t="s">
        <v>177</v>
      </c>
      <c r="K49" s="2" t="s">
        <v>123</v>
      </c>
      <c r="L49" s="33"/>
      <c r="M49" s="33"/>
      <c r="N49" s="33"/>
      <c r="O49" s="33"/>
      <c r="P49" s="33"/>
      <c r="Q49" s="1"/>
      <c r="R49" s="1"/>
      <c r="S49" s="1"/>
      <c r="T49" s="35">
        <v>0.1419</v>
      </c>
      <c r="U49" s="21">
        <f t="shared" si="2"/>
        <v>3710.6849999999999</v>
      </c>
    </row>
    <row r="50" spans="1:25" ht="24">
      <c r="A50" s="2" t="s">
        <v>126</v>
      </c>
      <c r="B50" s="1"/>
      <c r="C50" s="1"/>
      <c r="D50" s="2" t="s">
        <v>126</v>
      </c>
      <c r="E50" s="8" t="s">
        <v>127</v>
      </c>
      <c r="F50" s="11">
        <v>1</v>
      </c>
      <c r="G50" s="11">
        <f t="shared" si="0"/>
        <v>1000</v>
      </c>
      <c r="H50" s="16" t="s">
        <v>203</v>
      </c>
      <c r="I50" s="1" t="s">
        <v>202</v>
      </c>
      <c r="J50" s="1" t="s">
        <v>204</v>
      </c>
      <c r="K50" s="1" t="s">
        <v>205</v>
      </c>
      <c r="L50" s="33"/>
      <c r="M50" s="33"/>
      <c r="N50" s="33"/>
      <c r="O50" s="33"/>
      <c r="P50" s="33"/>
      <c r="Q50" s="1"/>
      <c r="R50" s="1"/>
      <c r="S50" s="1"/>
      <c r="T50" s="35">
        <v>0.23649999999999999</v>
      </c>
      <c r="U50" s="21">
        <f t="shared" si="2"/>
        <v>6184.4749999999995</v>
      </c>
    </row>
    <row r="51" spans="1:25" ht="24">
      <c r="A51" s="2" t="s">
        <v>128</v>
      </c>
      <c r="B51" s="1"/>
      <c r="C51" s="1"/>
      <c r="D51" s="2" t="s">
        <v>188</v>
      </c>
      <c r="E51" s="8" t="s">
        <v>130</v>
      </c>
      <c r="F51" s="11">
        <v>1</v>
      </c>
      <c r="G51" s="11">
        <f t="shared" si="0"/>
        <v>1000</v>
      </c>
      <c r="H51" s="16" t="s">
        <v>129</v>
      </c>
      <c r="I51" s="1"/>
      <c r="J51" s="2" t="s">
        <v>178</v>
      </c>
      <c r="K51" s="2" t="s">
        <v>128</v>
      </c>
      <c r="L51" s="33"/>
      <c r="M51" s="33"/>
      <c r="N51" s="33"/>
      <c r="O51" s="33"/>
      <c r="P51" s="33"/>
      <c r="Q51" s="1"/>
      <c r="R51" s="1"/>
      <c r="S51" s="1"/>
      <c r="T51" s="36">
        <v>7.8E-2</v>
      </c>
      <c r="U51" s="21">
        <f t="shared" si="2"/>
        <v>2039.7</v>
      </c>
    </row>
    <row r="52" spans="1:25" ht="15.6">
      <c r="A52" s="2" t="s">
        <v>131</v>
      </c>
      <c r="B52" s="1"/>
      <c r="C52" s="1"/>
      <c r="D52" s="2" t="s">
        <v>131</v>
      </c>
      <c r="E52" s="8" t="s">
        <v>132</v>
      </c>
      <c r="F52" s="11">
        <v>1</v>
      </c>
      <c r="G52" s="11">
        <f t="shared" si="0"/>
        <v>1000</v>
      </c>
      <c r="H52" s="16" t="s">
        <v>206</v>
      </c>
      <c r="I52" s="2" t="s">
        <v>207</v>
      </c>
      <c r="J52" s="1" t="s">
        <v>208</v>
      </c>
      <c r="K52" s="1" t="s">
        <v>131</v>
      </c>
      <c r="L52" s="34">
        <v>1</v>
      </c>
      <c r="M52" s="34">
        <v>1</v>
      </c>
      <c r="N52" s="34">
        <v>0.84</v>
      </c>
      <c r="O52" s="33">
        <v>3.2659199999999999</v>
      </c>
      <c r="P52" s="33">
        <v>3.2659199999999999</v>
      </c>
      <c r="Q52" s="1"/>
      <c r="R52" s="1"/>
      <c r="S52" s="19" t="s">
        <v>227</v>
      </c>
      <c r="T52" s="28"/>
      <c r="U52" s="21">
        <f t="shared" si="2"/>
        <v>0</v>
      </c>
    </row>
    <row r="53" spans="1:25">
      <c r="P53">
        <f>SUM(P44:P52)</f>
        <v>40.085280000000004</v>
      </c>
      <c r="U53" s="30">
        <f>SUM(U4:U52)</f>
        <v>80842.724999999991</v>
      </c>
      <c r="W53" s="38">
        <v>120927</v>
      </c>
      <c r="X53" s="37"/>
      <c r="Y53" s="37"/>
    </row>
  </sheetData>
  <mergeCells count="1">
    <mergeCell ref="W53:Y53"/>
  </mergeCells>
  <phoneticPr fontId="4" type="noConversion"/>
  <hyperlinks>
    <hyperlink ref="S52" r:id="rId1" display="https://item.taobao.com/item.htm?abbucket=12&amp;id=690569887601&amp;mi_id=0000e71NKl49qtzdIIIlqyCDBreq7W4tBYXr6ZVC5YImJSc&amp;ns=1&amp;priceTId=2100c80517669722657178530e0905&amp;skuId=5643160545714&amp;spm=a21n57.1.hoverItem.2&amp;utparam=%7B%22aplus_abtest%22%3A%227eb55c0d3290eb40adb23e01d289719f%22%7D&amp;xxc=taobaoSearch" xr:uid="{24E2DE75-6870-4E94-8EB9-800DAF010A1D}"/>
  </hyperlinks>
  <pageMargins left="0.7" right="0.7" top="0.75" bottom="0.75" header="0.3" footer="0.3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PD_SMARTKEY_EMN-EVAN_V2.0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đỗ danh lượng</dc:creator>
  <cp:lastModifiedBy>đỗ danh lượng</cp:lastModifiedBy>
  <dcterms:created xsi:type="dcterms:W3CDTF">2026-08-15T04:23:24Z</dcterms:created>
  <dcterms:modified xsi:type="dcterms:W3CDTF">2026-08-15T09:56:00Z</dcterms:modified>
</cp:coreProperties>
</file>